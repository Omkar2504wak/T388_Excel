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T388_Excel\"/>
    </mc:Choice>
  </mc:AlternateContent>
  <xr:revisionPtr revIDLastSave="0" documentId="8_{F90EC505-07B8-4039-8921-C716C045569E}" xr6:coauthVersionLast="47" xr6:coauthVersionMax="47" xr10:uidLastSave="{00000000-0000-0000-0000-000000000000}"/>
  <bookViews>
    <workbookView xWindow="-110" yWindow="-110" windowWidth="19420" windowHeight="10420" xr2:uid="{1FC02860-A081-40F5-8FDF-E649149CB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3" i="1"/>
  <c r="J5" i="1"/>
  <c r="J8" i="1"/>
  <c r="C24" i="1"/>
  <c r="C25" i="1"/>
  <c r="C23" i="1"/>
  <c r="G4" i="1"/>
  <c r="G5" i="1"/>
  <c r="K8" i="1"/>
  <c r="K5" i="1"/>
</calcChain>
</file>

<file path=xl/sharedStrings.xml><?xml version="1.0" encoding="utf-8"?>
<sst xmlns="http://schemas.openxmlformats.org/spreadsheetml/2006/main" count="58" uniqueCount="21">
  <si>
    <t>order_id</t>
  </si>
  <si>
    <t>region</t>
  </si>
  <si>
    <t>category</t>
  </si>
  <si>
    <t>sales</t>
  </si>
  <si>
    <t>ORD100000</t>
  </si>
  <si>
    <t>East</t>
  </si>
  <si>
    <t>Clothing</t>
  </si>
  <si>
    <t>ORD100001</t>
  </si>
  <si>
    <t>West</t>
  </si>
  <si>
    <t>Electronics</t>
  </si>
  <si>
    <t>ORD100002</t>
  </si>
  <si>
    <t>North</t>
  </si>
  <si>
    <t>Home Care</t>
  </si>
  <si>
    <t>ORD100003</t>
  </si>
  <si>
    <t>ORD100004</t>
  </si>
  <si>
    <t>ORD100005</t>
  </si>
  <si>
    <t>Grocery</t>
  </si>
  <si>
    <t>ORD100006</t>
  </si>
  <si>
    <t>Personal Care</t>
  </si>
  <si>
    <t>INDEX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</si>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</sst>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2" fillId="0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F298-5379-4CA0-BF29-EA27F6A08A2D}">
  <dimension ref="A1:L25"/>
  <sheetViews>
    <sheetView tabSelected="1" zoomScale="110" zoomScaleNormal="110" workbookViewId="0">
      <selection activeCell="D14" sqref="D14"/>
    </sheetView>
  </sheetViews>
  <sheetFormatPr defaultRowHeight="14.5" x14ac:dyDescent="0.35"/>
  <cols>
    <col min="1" max="4" width="14.7265625" bestFit="1" customWidth="1"/>
    <col min="5" max="6" width="14.7265625" customWidth="1"/>
    <col min="7" max="7" width="47.81640625" bestFit="1" customWidth="1"/>
    <col min="8" max="8" width="35.26953125" customWidth="1"/>
    <col min="9" max="11" width="14.7265625" bestFit="1" customWidth="1"/>
    <col min="12" max="12" width="16.453125" bestFit="1" customWidth="1"/>
  </cols>
  <sheetData>
    <row r="1" spans="1:11" ht="17.5" x14ac:dyDescent="0.35">
      <c r="A1" s="5" t="s">
        <v>0</v>
      </c>
      <c r="B1" s="1" t="s">
        <v>1</v>
      </c>
      <c r="C1" s="1" t="s">
        <v>2</v>
      </c>
      <c r="D1" s="1" t="s">
        <v>3</v>
      </c>
      <c r="E1" s="10"/>
      <c r="F1" s="10"/>
      <c r="G1" s="10"/>
      <c r="H1" s="10"/>
    </row>
    <row r="2" spans="1:11" ht="17.5" x14ac:dyDescent="0.35">
      <c r="A2" s="6" t="s">
        <v>4</v>
      </c>
      <c r="B2" s="2" t="s">
        <v>5</v>
      </c>
      <c r="C2" s="2" t="s">
        <v>6</v>
      </c>
      <c r="D2" s="6">
        <v>713.49</v>
      </c>
      <c r="E2" s="11"/>
      <c r="F2" s="11"/>
      <c r="G2" s="11"/>
      <c r="H2" s="11"/>
    </row>
    <row r="3" spans="1:11" ht="17.5" x14ac:dyDescent="0.35">
      <c r="A3" s="6" t="s">
        <v>7</v>
      </c>
      <c r="B3" s="2" t="s">
        <v>8</v>
      </c>
      <c r="C3" s="2" t="s">
        <v>9</v>
      </c>
      <c r="D3" s="6">
        <v>3802.97</v>
      </c>
      <c r="E3" s="6" t="s">
        <v>7</v>
      </c>
      <c r="F3">
        <f>VLOOKUP(E3,A1:D8,4,0)</f>
        <v>3802.97</v>
      </c>
      <c r="G3" s="11"/>
      <c r="H3" s="11"/>
      <c r="J3" s="7" t="s">
        <v>19</v>
      </c>
      <c r="K3" s="8"/>
    </row>
    <row r="4" spans="1:11" ht="17.5" x14ac:dyDescent="0.35">
      <c r="A4" s="13" t="s">
        <v>10</v>
      </c>
      <c r="B4" s="2" t="s">
        <v>11</v>
      </c>
      <c r="C4" s="2" t="s">
        <v>12</v>
      </c>
      <c r="D4" s="13">
        <v>3588.97</v>
      </c>
      <c r="E4" s="6" t="s">
        <v>7</v>
      </c>
      <c r="F4" s="11">
        <f>INDEX(D1:D8,MATCH("ORD100004",A1:A8,0))</f>
        <v>3071.32</v>
      </c>
      <c r="G4" s="12" t="str">
        <f ca="1">_xlfn.FORMULATEXT(F4)</f>
        <v>=INDEX(D1:D8,MATCH("ORD100004",A1:A8,0))</v>
      </c>
      <c r="H4" s="12"/>
      <c r="J4" s="8"/>
      <c r="K4" s="8"/>
    </row>
    <row r="5" spans="1:11" ht="17.5" x14ac:dyDescent="0.35">
      <c r="A5" s="6" t="s">
        <v>13</v>
      </c>
      <c r="B5" s="2" t="s">
        <v>5</v>
      </c>
      <c r="C5" s="2" t="s">
        <v>9</v>
      </c>
      <c r="D5" s="6">
        <v>1160.8599999999999</v>
      </c>
      <c r="E5" s="11"/>
      <c r="F5" s="11">
        <f>INDEX(D1:D8,4)</f>
        <v>3588.97</v>
      </c>
      <c r="G5" s="12" t="str">
        <f ca="1">_xlfn.FORMULATEXT(F5)</f>
        <v>=INDEX(D1:D8,4)</v>
      </c>
      <c r="H5" s="11"/>
      <c r="J5" s="9" t="str">
        <f>INDEX(A:A,6)</f>
        <v>ORD100004</v>
      </c>
      <c r="K5" s="8" t="str">
        <f ca="1">_xlfn.FORMULATEXT(J5)</f>
        <v>=INDEX(A:A,6)</v>
      </c>
    </row>
    <row r="6" spans="1:11" ht="17.5" x14ac:dyDescent="0.35">
      <c r="A6" s="6" t="s">
        <v>14</v>
      </c>
      <c r="B6" s="2" t="s">
        <v>5</v>
      </c>
      <c r="C6" s="2" t="s">
        <v>9</v>
      </c>
      <c r="D6" s="6">
        <v>3071.32</v>
      </c>
      <c r="E6" s="11"/>
      <c r="F6" s="11"/>
      <c r="G6" s="11"/>
      <c r="H6" s="11"/>
    </row>
    <row r="7" spans="1:11" ht="17.5" x14ac:dyDescent="0.35">
      <c r="A7" s="6" t="s">
        <v>15</v>
      </c>
      <c r="B7" s="2" t="s">
        <v>8</v>
      </c>
      <c r="C7" s="2" t="s">
        <v>16</v>
      </c>
      <c r="D7" s="6">
        <v>2566.1799999999998</v>
      </c>
      <c r="E7" s="11"/>
      <c r="F7" s="11"/>
      <c r="G7" s="11"/>
      <c r="H7" s="11"/>
      <c r="J7" s="4" t="s">
        <v>20</v>
      </c>
    </row>
    <row r="8" spans="1:11" ht="17.5" x14ac:dyDescent="0.35">
      <c r="A8" s="6" t="s">
        <v>17</v>
      </c>
      <c r="B8" s="2" t="s">
        <v>11</v>
      </c>
      <c r="C8" s="2" t="s">
        <v>18</v>
      </c>
      <c r="D8" s="6">
        <v>398</v>
      </c>
      <c r="E8" s="6"/>
      <c r="F8" s="6"/>
      <c r="G8" s="6"/>
      <c r="H8" s="6"/>
      <c r="I8" s="6" t="s">
        <v>14</v>
      </c>
      <c r="J8">
        <f>MATCH(I8,A:A,0)</f>
        <v>6</v>
      </c>
      <c r="K8" s="8" t="str">
        <f ca="1">_xlfn.FORMULATEXT(J8)</f>
        <v>=MATCH(I8,A:A,0)</v>
      </c>
    </row>
    <row r="17" spans="1:12" ht="17.5" x14ac:dyDescent="0.35">
      <c r="A17" s="1" t="s">
        <v>0</v>
      </c>
      <c r="B17" s="2" t="s">
        <v>4</v>
      </c>
      <c r="C17" s="2" t="s">
        <v>7</v>
      </c>
      <c r="D17" s="2" t="s">
        <v>10</v>
      </c>
      <c r="E17" s="2"/>
      <c r="F17" s="2"/>
      <c r="G17" s="2"/>
      <c r="H17" s="2"/>
      <c r="I17" s="2" t="s">
        <v>13</v>
      </c>
      <c r="J17" s="2" t="s">
        <v>14</v>
      </c>
      <c r="K17" s="2" t="s">
        <v>15</v>
      </c>
      <c r="L17" s="2" t="s">
        <v>17</v>
      </c>
    </row>
    <row r="18" spans="1:12" ht="17.5" x14ac:dyDescent="0.35">
      <c r="A18" s="1" t="s">
        <v>1</v>
      </c>
      <c r="B18" s="2" t="s">
        <v>5</v>
      </c>
      <c r="C18" s="2" t="s">
        <v>8</v>
      </c>
      <c r="D18" s="2" t="s">
        <v>11</v>
      </c>
      <c r="E18" s="2"/>
      <c r="F18" s="2"/>
      <c r="G18" s="2"/>
      <c r="H18" s="2"/>
      <c r="I18" s="2" t="s">
        <v>5</v>
      </c>
      <c r="J18" s="2" t="s">
        <v>5</v>
      </c>
      <c r="K18" s="2" t="s">
        <v>8</v>
      </c>
      <c r="L18" s="2" t="s">
        <v>11</v>
      </c>
    </row>
    <row r="19" spans="1:12" ht="17.5" x14ac:dyDescent="0.35">
      <c r="A19" s="1" t="s">
        <v>2</v>
      </c>
      <c r="B19" s="2" t="s">
        <v>6</v>
      </c>
      <c r="C19" s="2" t="s">
        <v>9</v>
      </c>
      <c r="D19" s="2" t="s">
        <v>12</v>
      </c>
      <c r="E19" s="2"/>
      <c r="F19" s="2"/>
      <c r="G19" s="2"/>
      <c r="H19" s="2"/>
      <c r="I19" s="2" t="s">
        <v>9</v>
      </c>
      <c r="J19" s="2" t="s">
        <v>9</v>
      </c>
      <c r="K19" s="2" t="s">
        <v>16</v>
      </c>
      <c r="L19" s="2" t="s">
        <v>18</v>
      </c>
    </row>
    <row r="20" spans="1:12" ht="17.5" x14ac:dyDescent="0.35">
      <c r="A20" s="1" t="s">
        <v>3</v>
      </c>
      <c r="B20" s="2">
        <v>713.49</v>
      </c>
      <c r="C20" s="2">
        <v>3802.97</v>
      </c>
      <c r="D20" s="2">
        <v>3588.97</v>
      </c>
      <c r="E20" s="2"/>
      <c r="F20" s="2"/>
      <c r="G20" s="2"/>
      <c r="H20" s="2"/>
      <c r="I20" s="2">
        <v>1160.8599999999999</v>
      </c>
      <c r="J20" s="2">
        <v>3071.32</v>
      </c>
      <c r="K20" s="2">
        <v>2566.1799999999998</v>
      </c>
      <c r="L20" s="2">
        <v>398</v>
      </c>
    </row>
    <row r="23" spans="1:12" ht="17.5" x14ac:dyDescent="0.35">
      <c r="B23" s="2" t="s">
        <v>10</v>
      </c>
      <c r="C23" s="3">
        <f>HLOOKUP(B23,$A$17:$L$20,4,0)</f>
        <v>3588.97</v>
      </c>
    </row>
    <row r="24" spans="1:12" ht="17.5" x14ac:dyDescent="0.35">
      <c r="B24" s="2" t="s">
        <v>14</v>
      </c>
      <c r="C24" s="3">
        <f>HLOOKUP(B24,$A$17:$L$20,4,0)</f>
        <v>3071.32</v>
      </c>
    </row>
    <row r="25" spans="1:12" ht="17.5" x14ac:dyDescent="0.35">
      <c r="B25" s="2" t="s">
        <v>4</v>
      </c>
      <c r="C25" s="3">
        <f>HLOOKUP(B25,$A$17:$L$20,4,0)</f>
        <v>713.49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Warsolkar</dc:creator>
  <cp:lastModifiedBy>Sam Warsolkar</cp:lastModifiedBy>
  <dcterms:created xsi:type="dcterms:W3CDTF">2026-08-17T04:08:39Z</dcterms:created>
  <dcterms:modified xsi:type="dcterms:W3CDTF">2026-08-17T05:34:39Z</dcterms:modified>
</cp:coreProperties>
</file>